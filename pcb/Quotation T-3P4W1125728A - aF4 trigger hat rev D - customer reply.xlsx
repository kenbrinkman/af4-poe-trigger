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<sst xmlns="http://schemas.openxmlformats.org/spreadsheetml/2006/main" count="177" uniqueCount="133">
  <si>
    <t xml:space="preserve">PCBWay Bom Quotation, Product No.:T-3P4W1125728A</t>
  </si>
  <si>
    <t xml:space="preserve">Item #</t>
  </si>
  <si>
    <t xml:space="preserve">*Designator</t>
  </si>
  <si>
    <t xml:space="preserve">*Qty</t>
  </si>
  <si>
    <t xml:space="preserve">Manufacturer</t>
  </si>
  <si>
    <t xml:space="preserve">*Mfg Part #</t>
  </si>
  <si>
    <t xml:space="preserve">Description / Value</t>
  </si>
  <si>
    <t xml:space="preserve">*Package/Footprint</t>
  </si>
  <si>
    <t xml:space="preserve">Mounting Type</t>
  </si>
  <si>
    <t xml:space="preserve">Your Instructions / Notes</t>
  </si>
  <si>
    <t xml:space="preserve">*Unit Price(5 units)</t>
  </si>
  <si>
    <t xml:space="preserve">*Total</t>
  </si>
  <si>
    <t xml:space="preserve">*Delivery Time</t>
  </si>
  <si>
    <t xml:space="preserve">*Actual Purchase Mfg Part #</t>
  </si>
  <si>
    <t xml:space="preserve">*PCBWay Note</t>
  </si>
  <si>
    <t xml:space="preserve">Customer Reply</t>
  </si>
  <si>
    <t xml:space="preserve">PCBWay Update</t>
  </si>
  <si>
    <t xml:space="preserve">U1</t>
  </si>
  <si>
    <t xml:space="preserve">Panasonic</t>
  </si>
  <si>
    <t xml:space="preserve">AQY212GS</t>
  </si>
  <si>
    <r>
      <rPr>
        <sz val="10"/>
        <rFont val="Arial"/>
        <family val="2"/>
        <charset val="1"/>
      </rPr>
      <t xml:space="preserve">AQY212GS</t>
    </r>
    <r>
      <rPr>
        <sz val="10"/>
        <rFont val="Noto Sans CJK SC"/>
        <family val="2"/>
      </rPr>
      <t xml:space="preserve">『 』</t>
    </r>
    <r>
      <rPr>
        <sz val="10"/>
        <rFont val="Arial"/>
        <family val="2"/>
        <charset val="1"/>
      </rPr>
      <t xml:space="preserve">PhotoMOS solid-state relay, 1 Form A, 60 V / 1 A, 1500 Vrms isolation</t>
    </r>
  </si>
  <si>
    <t xml:space="preserve">SOP-4</t>
  </si>
  <si>
    <t xml:space="preserve">SMD</t>
  </si>
  <si>
    <t xml:space="preserve">Isolates ESP32 logic from the feeder supply. Pins 3/4 are a symmetric MOSFET pair - no polarity.</t>
  </si>
  <si>
    <t xml:space="preserve">Confirmed - use the part number as listed.</t>
  </si>
  <si>
    <t xml:space="preserve">U2</t>
  </si>
  <si>
    <t xml:space="preserve">Texas Instruments</t>
  </si>
  <si>
    <t xml:space="preserve">LM1117MPX-ADJ/NOPB</t>
  </si>
  <si>
    <r>
      <rPr>
        <sz val="10"/>
        <rFont val="Arial"/>
        <family val="2"/>
        <charset val="1"/>
      </rPr>
      <t xml:space="preserve">LM1117MPX-ADJ/NOPB</t>
    </r>
    <r>
      <rPr>
        <sz val="10"/>
        <rFont val="Noto Sans CJK SC"/>
        <family val="2"/>
      </rPr>
      <t xml:space="preserve">『 』</t>
    </r>
    <r>
      <rPr>
        <sz val="10"/>
        <rFont val="Arial"/>
        <family val="2"/>
        <charset val="1"/>
      </rPr>
      <t xml:space="preserve">LDO regulator, adjustable, 800 mA</t>
    </r>
  </si>
  <si>
    <t xml:space="preserve">SOT-223</t>
  </si>
  <si>
    <t xml:space="preserve">Tab is VOUT. Set to 10.4 V by R4/R5.</t>
  </si>
  <si>
    <t xml:space="preserve">D1</t>
  </si>
  <si>
    <t xml:space="preserve">Vishay</t>
  </si>
  <si>
    <t xml:space="preserve">SS14-E3/61T</t>
  </si>
  <si>
    <r>
      <rPr>
        <sz val="10"/>
        <rFont val="Arial"/>
        <family val="2"/>
        <charset val="1"/>
      </rPr>
      <t xml:space="preserve">SS14-E3/61T</t>
    </r>
    <r>
      <rPr>
        <sz val="10"/>
        <rFont val="Noto Sans CJK SC"/>
        <family val="2"/>
      </rPr>
      <t xml:space="preserve">『 』</t>
    </r>
    <r>
      <rPr>
        <sz val="10"/>
        <rFont val="Arial"/>
        <family val="2"/>
        <charset val="1"/>
      </rPr>
      <t xml:space="preserve">Schottky rectifier, 40 V / 1 A</t>
    </r>
  </si>
  <si>
    <t xml:space="preserve">SMA (DO-214AC)</t>
  </si>
  <si>
    <t xml:space="preserve">Reverse-polarity protection, in series with the 12 V input.</t>
  </si>
  <si>
    <t xml:space="preserve">D2</t>
  </si>
  <si>
    <t xml:space="preserve">Littelfuse</t>
  </si>
  <si>
    <t xml:space="preserve">SMAJ13A</t>
  </si>
  <si>
    <r>
      <rPr>
        <sz val="10"/>
        <rFont val="Arial"/>
        <family val="2"/>
        <charset val="1"/>
      </rPr>
      <t xml:space="preserve">SMAJ13A</t>
    </r>
    <r>
      <rPr>
        <sz val="10"/>
        <rFont val="Noto Sans CJK SC"/>
        <family val="2"/>
      </rPr>
      <t xml:space="preserve">『 』</t>
    </r>
    <r>
      <rPr>
        <sz val="10"/>
        <rFont val="Arial"/>
        <family val="2"/>
        <charset val="1"/>
      </rPr>
      <t xml:space="preserve">TVS diode, unidirectional, 13 V standoff, 400 W</t>
    </r>
  </si>
  <si>
    <t xml:space="preserve">Input clamp. Standoff sits above the 12 V rail; cathode to +12 V.</t>
  </si>
  <si>
    <t xml:space="preserve">D4</t>
  </si>
  <si>
    <t xml:space="preserve">SMBJ13CA</t>
  </si>
  <si>
    <r>
      <rPr>
        <sz val="10"/>
        <rFont val="Arial"/>
        <family val="2"/>
        <charset val="1"/>
      </rPr>
      <t xml:space="preserve">SMBJ13CA</t>
    </r>
    <r>
      <rPr>
        <sz val="10"/>
        <rFont val="Noto Sans CJK SC"/>
        <family val="2"/>
      </rPr>
      <t xml:space="preserve">『 』</t>
    </r>
    <r>
      <rPr>
        <sz val="10"/>
        <rFont val="Arial"/>
        <family val="2"/>
        <charset val="1"/>
      </rPr>
      <t xml:space="preserve">TVS diode, bidirectional, 13 V standoff, 600 W</t>
    </r>
  </si>
  <si>
    <t xml:space="preserve">SMB (DO-214AA)</t>
  </si>
  <si>
    <t xml:space="preserve">Across the trigger pair at the jack. Bidirectional - no orientation.</t>
  </si>
  <si>
    <t xml:space="preserve">D3</t>
  </si>
  <si>
    <t xml:space="preserve">Kingbright</t>
  </si>
  <si>
    <t xml:space="preserve">APT2012SGC</t>
  </si>
  <si>
    <r>
      <rPr>
        <sz val="10"/>
        <rFont val="Arial"/>
        <family val="2"/>
        <charset val="1"/>
      </rPr>
      <t xml:space="preserve">APT2012SGC</t>
    </r>
    <r>
      <rPr>
        <sz val="10"/>
        <rFont val="Noto Sans CJK SC"/>
        <family val="2"/>
      </rPr>
      <t xml:space="preserve">『 』</t>
    </r>
    <r>
      <rPr>
        <sz val="10"/>
        <rFont val="Arial"/>
        <family val="2"/>
        <charset val="1"/>
      </rPr>
      <t xml:space="preserve">LED, green, 2.0 V typ</t>
    </r>
  </si>
  <si>
    <t xml:space="preserve">0805</t>
  </si>
  <si>
    <t xml:space="preserve">10.4 V rail live indicator.</t>
  </si>
  <si>
    <t xml:space="preserve">Confirmed - APT2012SGC (green). Please keep this exact part.</t>
  </si>
  <si>
    <t xml:space="preserve">D5</t>
  </si>
  <si>
    <t xml:space="preserve">APT2012SYC</t>
  </si>
  <si>
    <r>
      <rPr>
        <sz val="10"/>
        <rFont val="Arial"/>
        <family val="2"/>
        <charset val="1"/>
      </rPr>
      <t xml:space="preserve">APT2012SYC</t>
    </r>
    <r>
      <rPr>
        <sz val="10"/>
        <rFont val="Noto Sans CJK SC"/>
        <family val="2"/>
      </rPr>
      <t xml:space="preserve">『 』</t>
    </r>
    <r>
      <rPr>
        <sz val="10"/>
        <rFont val="Arial"/>
        <family val="2"/>
        <charset val="1"/>
      </rPr>
      <t xml:space="preserve">LED, yellow, 2.0 V typ</t>
    </r>
  </si>
  <si>
    <t xml:space="preserve">Lights while the trigger output is asserted.</t>
  </si>
  <si>
    <t xml:space="preserve">APT2012SYCK</t>
  </si>
  <si>
    <r>
      <rPr>
        <sz val="10"/>
        <rFont val="Arial"/>
        <family val="2"/>
        <charset val="1"/>
      </rPr>
      <t xml:space="preserve">APT2012SYCK</t>
    </r>
    <r>
      <rPr>
        <sz val="10"/>
        <rFont val="Noto Sans CJK SC"/>
        <family val="2"/>
      </rPr>
      <t xml:space="preserve">（</t>
    </r>
    <r>
      <rPr>
        <sz val="10"/>
        <rFont val="Arial"/>
        <family val="2"/>
        <charset val="1"/>
      </rPr>
      <t xml:space="preserve">LED YELLOW CLEAR CHIP SMD</t>
    </r>
    <r>
      <rPr>
        <sz val="10"/>
        <rFont val="Noto Sans CJK SC"/>
        <family val="2"/>
      </rPr>
      <t xml:space="preserve">），</t>
    </r>
    <r>
      <rPr>
        <sz val="10"/>
        <rFont val="Arial"/>
        <family val="2"/>
        <charset val="1"/>
      </rPr>
      <t xml:space="preserve">OK</t>
    </r>
    <r>
      <rPr>
        <sz val="10"/>
        <rFont val="Noto Sans CJK SC"/>
        <family val="2"/>
      </rPr>
      <t xml:space="preserve">？</t>
    </r>
  </si>
  <si>
    <t xml:space="preserve">APT2012SYCK is ACCEPTED - please purchase APT2012SYCK. Our BOM had a typo: Kingbright does not list an APT2012SYC. Same 0805 footprint, same polarity, yellow 590 nm, 2.0 V typ, water-clear lens - the same lens type as D3.</t>
  </si>
  <si>
    <t xml:space="preserve">F1</t>
  </si>
  <si>
    <t xml:space="preserve">1206L010/60YR</t>
  </si>
  <si>
    <r>
      <rPr>
        <sz val="10"/>
        <rFont val="Arial"/>
        <family val="2"/>
        <charset val="1"/>
      </rPr>
      <t xml:space="preserve">1206L010/60YR</t>
    </r>
    <r>
      <rPr>
        <sz val="10"/>
        <rFont val="Noto Sans CJK SC"/>
        <family val="2"/>
      </rPr>
      <t xml:space="preserve">『 』</t>
    </r>
    <r>
      <rPr>
        <sz val="10"/>
        <rFont val="Arial"/>
        <family val="2"/>
        <charset val="1"/>
      </rPr>
      <t xml:space="preserve">PPTC resettable fuse, 0.10 A hold / 0.30 A trip, 60 V</t>
    </r>
  </si>
  <si>
    <t xml:space="preserve">1206</t>
  </si>
  <si>
    <t xml:space="preserve">On the 12 V tap. Feeder supply can source 12.5 A.</t>
  </si>
  <si>
    <t xml:space="preserve">Please provide exact part number or component URL.</t>
  </si>
  <si>
    <t xml:space="preserve">Our part number had the wrong packaging suffix. The correct orderable part is Littelfuse 1206L010/60WR - 1206 PPTC, 0.10 A hold / 0.25 A trip, 60 Vdc (Newark 39AH9731). 1206L010/60WR-A (automotive grade, identical electricals) is an acceptable alternate if the /60WR reel is unavailable. Please quote this line - it is currently unpriced.</t>
  </si>
  <si>
    <t xml:space="preserve">C1</t>
  </si>
  <si>
    <t xml:space="preserve">Murata</t>
  </si>
  <si>
    <t xml:space="preserve">GRM31CR71H106KA12L</t>
  </si>
  <si>
    <r>
      <rPr>
        <sz val="10"/>
        <rFont val="Arial"/>
        <family val="2"/>
        <charset val="1"/>
      </rPr>
      <t xml:space="preserve">GRM31CR71H106KA12L</t>
    </r>
    <r>
      <rPr>
        <sz val="10"/>
        <rFont val="Noto Sans CJK SC"/>
        <family val="2"/>
      </rPr>
      <t xml:space="preserve">『 』</t>
    </r>
    <r>
      <rPr>
        <sz val="10"/>
        <rFont val="Arial"/>
        <family val="2"/>
        <charset val="1"/>
      </rPr>
      <t xml:space="preserve">Capacitor, 10 uF, 50 V, X7R</t>
    </r>
  </si>
  <si>
    <t xml:space="preserve">Regulator input bulk.</t>
  </si>
  <si>
    <t xml:space="preserve">GRM31CR61H106KA12L</t>
  </si>
  <si>
    <t xml:space="preserve">GRM31CR61H106KA12L is ACCEPTED - please purchase GRM31CR61H106KA12L. Our part number was wrong: Murata does not make a 10 uF 50 V X7R in 1206. X5R is fine here (indoor use, input bulk cap). PLEASE REQUOTE THIS LINE: USD 1.459/pc was quoted against the non-existent X7R part number; GRM31CR61H106KA12L is a stocked commodity part.</t>
  </si>
  <si>
    <t xml:space="preserve">C2</t>
  </si>
  <si>
    <t xml:space="preserve">Kemet</t>
  </si>
  <si>
    <t xml:space="preserve">T491B106K025AT</t>
  </si>
  <si>
    <r>
      <rPr>
        <sz val="10"/>
        <rFont val="Arial"/>
        <family val="2"/>
        <charset val="1"/>
      </rPr>
      <t xml:space="preserve">T491B106K025AT</t>
    </r>
    <r>
      <rPr>
        <sz val="10"/>
        <rFont val="Noto Sans CJK SC"/>
        <family val="2"/>
      </rPr>
      <t xml:space="preserve">『 』</t>
    </r>
    <r>
      <rPr>
        <sz val="10"/>
        <rFont val="Arial"/>
        <family val="2"/>
        <charset val="1"/>
      </rPr>
      <t xml:space="preserve">Capacitor, tantalum, 10 uF, 25 V</t>
    </r>
  </si>
  <si>
    <t xml:space="preserve">EIA-3528 (case B)</t>
  </si>
  <si>
    <t xml:space="preserve">Regulator output. Tantalum is required - the LM1117 needs output-cap ESR. POLARISED: + to the 10.4 V rail.</t>
  </si>
  <si>
    <t xml:space="preserve">Confirmed - T491B106K025AT. This MUST stay a tantalum: the LM1117 relies on the output capacitor's ESR for loop stability. Do NOT substitute a ceramic (MLCC). POLARISED - the + terminal goes to the 10.4 V rail (pad 1, marked on silkscreen).</t>
  </si>
  <si>
    <t xml:space="preserve">R1</t>
  </si>
  <si>
    <t xml:space="preserve">Yageo</t>
  </si>
  <si>
    <t xml:space="preserve">RC0805FR-07220RL</t>
  </si>
  <si>
    <r>
      <rPr>
        <sz val="10"/>
        <rFont val="Arial"/>
        <family val="2"/>
        <charset val="1"/>
      </rPr>
      <t xml:space="preserve">RC0805FR-07220RL</t>
    </r>
    <r>
      <rPr>
        <sz val="10"/>
        <rFont val="Noto Sans CJK SC"/>
        <family val="2"/>
      </rPr>
      <t xml:space="preserve">『 』</t>
    </r>
    <r>
      <rPr>
        <sz val="10"/>
        <rFont val="Arial"/>
        <family val="2"/>
        <charset val="1"/>
      </rPr>
      <t xml:space="preserve">Resistor, 220 R, 1%, 1/8 W</t>
    </r>
  </si>
  <si>
    <t xml:space="preserve">PhotoMOS LED current set, ~9 mA from GPIO32.</t>
  </si>
  <si>
    <t xml:space="preserve">R2,R6,R7</t>
  </si>
  <si>
    <t xml:space="preserve">RC0805FR-0710KL</t>
  </si>
  <si>
    <r>
      <rPr>
        <sz val="10"/>
        <rFont val="Arial"/>
        <family val="2"/>
        <charset val="1"/>
      </rPr>
      <t xml:space="preserve">RC0805FR-0710KL</t>
    </r>
    <r>
      <rPr>
        <sz val="10"/>
        <rFont val="Noto Sans CJK SC"/>
        <family val="2"/>
      </rPr>
      <t xml:space="preserve">『 』</t>
    </r>
    <r>
      <rPr>
        <sz val="10"/>
        <rFont val="Arial"/>
        <family val="2"/>
        <charset val="1"/>
      </rPr>
      <t xml:space="preserve">Resistor, 10 k, 1%, 1/8 W</t>
    </r>
  </si>
  <si>
    <t xml:space="preserve">R2 = GPIO32 pulldown (boot safety); R6/R7 = LED series resistors.</t>
  </si>
  <si>
    <t xml:space="preserve">*** BOM CHANGE - PLEASE DO NOT BUY 3x RC0805FR-0710KL FOR THIS LINE. ***
This line splits into three parts at three different values:
  R2 = RC0805FR-0710KL   (10 k, 1 off) - unchanged
  R6 = RC0805FR-071KL    (1.0 k, 1 off) - NEW
  R7 = RC0805FR-076K8L   (6.8 k, 1 off) - NEW
Same 0805 footprint and same board positions - no gerber or centroid change. A revised BOM (20 lines instead of 18) is attached. Please quote R6 and R7 as two additional lines.</t>
  </si>
  <si>
    <t xml:space="preserve">R3</t>
  </si>
  <si>
    <t xml:space="preserve">RC0805FR-07100KL</t>
  </si>
  <si>
    <r>
      <rPr>
        <sz val="10"/>
        <rFont val="Arial"/>
        <family val="2"/>
        <charset val="1"/>
      </rPr>
      <t xml:space="preserve">RC0805FR-07100KL</t>
    </r>
    <r>
      <rPr>
        <sz val="10"/>
        <rFont val="Noto Sans CJK SC"/>
        <family val="2"/>
      </rPr>
      <t xml:space="preserve">『 』</t>
    </r>
    <r>
      <rPr>
        <sz val="10"/>
        <rFont val="Arial"/>
        <family val="2"/>
        <charset val="1"/>
      </rPr>
      <t xml:space="preserve">Resistor, 100 k, 1%, 1/8 W</t>
    </r>
  </si>
  <si>
    <t xml:space="preserve">Trigger-line bleed, guarantees the 0 V re-arm.</t>
  </si>
  <si>
    <t xml:space="preserve">R4</t>
  </si>
  <si>
    <t xml:space="preserve">RC0805FR-07121RL</t>
  </si>
  <si>
    <r>
      <rPr>
        <sz val="10"/>
        <rFont val="Arial"/>
        <family val="2"/>
        <charset val="1"/>
      </rPr>
      <t xml:space="preserve">RC0805FR-07121RL</t>
    </r>
    <r>
      <rPr>
        <sz val="10"/>
        <rFont val="Noto Sans CJK SC"/>
        <family val="2"/>
      </rPr>
      <t xml:space="preserve">『 』</t>
    </r>
    <r>
      <rPr>
        <sz val="10"/>
        <rFont val="Arial"/>
        <family val="2"/>
        <charset val="1"/>
      </rPr>
      <t xml:space="preserve">Resistor, 121 R, 1%, 1/8 W</t>
    </r>
  </si>
  <si>
    <t xml:space="preserve">LM1117 divider, VOUT to ADJ.</t>
  </si>
  <si>
    <t xml:space="preserve">R5</t>
  </si>
  <si>
    <t xml:space="preserve">RC0805FR-07887RL</t>
  </si>
  <si>
    <r>
      <rPr>
        <sz val="10"/>
        <rFont val="Arial"/>
        <family val="2"/>
        <charset val="1"/>
      </rPr>
      <t xml:space="preserve">RC0805FR-07887RL</t>
    </r>
    <r>
      <rPr>
        <sz val="10"/>
        <rFont val="Noto Sans CJK SC"/>
        <family val="2"/>
      </rPr>
      <t xml:space="preserve">『 』</t>
    </r>
    <r>
      <rPr>
        <sz val="10"/>
        <rFont val="Arial"/>
        <family val="2"/>
        <charset val="1"/>
      </rPr>
      <t xml:space="preserve">Resistor, 887 R, 1%, 1/8 W</t>
    </r>
  </si>
  <si>
    <t xml:space="preserve">LM1117 divider, ADJ to GND. Vout = 1.25*(1+887/121).</t>
  </si>
  <si>
    <t xml:space="preserve">J1</t>
  </si>
  <si>
    <t xml:space="preserve">Same Sky (CUI)</t>
  </si>
  <si>
    <t xml:space="preserve">PJ-079BH</t>
  </si>
  <si>
    <r>
      <rPr>
        <sz val="10"/>
        <rFont val="Arial"/>
        <family val="2"/>
        <charset val="1"/>
      </rPr>
      <t xml:space="preserve">PJ-079BH</t>
    </r>
    <r>
      <rPr>
        <sz val="10"/>
        <rFont val="Noto Sans CJK SC"/>
        <family val="2"/>
      </rPr>
      <t xml:space="preserve">『 』</t>
    </r>
    <r>
      <rPr>
        <sz val="10"/>
        <rFont val="Arial"/>
        <family val="2"/>
        <charset val="1"/>
      </rPr>
      <t xml:space="preserve">DC power jack, 5.5 x 2.5 mm, 2.5 mm centre pin, 24 V / 5 A</t>
    </r>
  </si>
  <si>
    <t xml:space="preserve">Right-angle THT</t>
  </si>
  <si>
    <t xml:space="preserve">THT</t>
  </si>
  <si>
    <t xml:space="preserve">MUST be the 2.5 mm centre-pin part. Terminal 3 (switch) is unconnected.</t>
  </si>
  <si>
    <t xml:space="preserve">7-10 Workdays</t>
  </si>
  <si>
    <t xml:space="preserve">Confirmed - PJ-079BH ONLY. This must be the 2.5 mm centre-pin variant. Do NOT substitute PJ-002AH or PJ-102AH: they look identical but are 2.0-2.1 mm and will not accept the power plug.</t>
  </si>
  <si>
    <t xml:space="preserve">J2</t>
  </si>
  <si>
    <t xml:space="preserve">SJ1-3523N</t>
  </si>
  <si>
    <r>
      <rPr>
        <sz val="10"/>
        <rFont val="Arial"/>
        <family val="2"/>
        <charset val="1"/>
      </rPr>
      <t xml:space="preserve">SJ1-3523N</t>
    </r>
    <r>
      <rPr>
        <sz val="10"/>
        <rFont val="Noto Sans CJK SC"/>
        <family val="2"/>
      </rPr>
      <t xml:space="preserve">『 』</t>
    </r>
    <r>
      <rPr>
        <sz val="10"/>
        <rFont val="Arial"/>
        <family val="2"/>
        <charset val="1"/>
      </rPr>
      <t xml:space="preserve">Audio jack, 3.5 mm, 3-conductor, right angle</t>
    </r>
  </si>
  <si>
    <t xml:space="preserve">Tip = trigger signal. Ring is tied to sleeve on the board.</t>
  </si>
  <si>
    <t xml:space="preserve">J3,J4</t>
  </si>
  <si>
    <t xml:space="preserve">Sullins</t>
  </si>
  <si>
    <t xml:space="preserve">PPTC101LFBN-RC</t>
  </si>
  <si>
    <r>
      <rPr>
        <sz val="10"/>
        <rFont val="Arial"/>
        <family val="2"/>
        <charset val="1"/>
      </rPr>
      <t xml:space="preserve">PPTC101LFBN-RC</t>
    </r>
    <r>
      <rPr>
        <sz val="10"/>
        <rFont val="Noto Sans CJK SC"/>
        <family val="2"/>
      </rPr>
      <t xml:space="preserve">『 』</t>
    </r>
    <r>
      <rPr>
        <sz val="10"/>
        <rFont val="Arial"/>
        <family val="2"/>
        <charset val="1"/>
      </rPr>
      <t xml:space="preserve">Socket header, 1x10, 2.54 mm, vertical</t>
    </r>
  </si>
  <si>
    <t xml:space="preserve">Mates the Olimex ESP32-POE-ISO EXT1/EXT2 headers.</t>
  </si>
  <si>
    <t xml:space="preserve">Confirmed - PPTC101LFBN-RC x2. Please seat J3 and J4 flush and square to the board; they mate with a header on a second board and any tilt prevents assembly.</t>
  </si>
  <si>
    <t xml:space="preserve">Component Cost</t>
  </si>
  <si>
    <t xml:space="preserve">Assembly Cost</t>
  </si>
  <si>
    <t xml:space="preserve">GENERAL REPLY 1/5 - REVISED BOM ATTACHED. The only change from the BOM you quoted is the R2/R6/R7 line splitting into three values (see line 12 above). Everything else is identical. Gerbers, drill and centroid are UNCHANGED - please keep using the files you already have. Attached: 'af4-trigger-hat-BOM.csv' (20 lines).</t>
  </si>
  <si>
    <t xml:space="preserve">PCB Cost</t>
  </si>
  <si>
    <t xml:space="preserve">GENERAL REPLY 2/5 - PICK AND PLACE: the pick-and-place / centroid file was already included in both uploaded zips as 'af4-trigger-hat-centroid.csv'. It is attached again as 'af4-trigger-hat-pick-and-place.csv'. Origin is the board's LOWER-LEFT corner, Y up, rotations counter-clockwise in degrees. 17 SMD placements, top side only; the 4 THT parts (J1-J4) are not in the file.</t>
  </si>
  <si>
    <t xml:space="preserve">V0 Member 0% off</t>
  </si>
  <si>
    <t xml:space="preserve">GENERAL REPLY 3/5 - SENSITIVE PARTS: no unusual temperature restrictions; standard lead-free reflow is fine. Please observe normal MSL handling for U1 (AQY212GS PhotoMOS) and C2 (tantalum). No BGA on this board, so X-ray is not required, and we do not need functional test on this 5-unit prototype run.</t>
  </si>
  <si>
    <t xml:space="preserve">All Total 5 Units</t>
  </si>
  <si>
    <t xml:space="preserve">GENERAL REPLY 4/5 - PLEASE SEND AN UPDATED QUOTATION with (a) the Assembly Cost line filled in, (b) F1 priced, (c) C1 requoted against GRM31CR61H106KA12L, (d) R6 and R7 added, and (e) total lead time. The current 'All Total 5 Units' of USD 78.63 cannot be the final figure.</t>
  </si>
  <si>
    <t xml:space="preserve">GENERAL REPLY 5/5 - CRITICAL: U1 straddles a deliberate copper-free isolation band running the full height of the board. Please do not add copper, vias or stitching in that band - it is the safety barrier between the logic side and the feeder-power side. D1, D2, D3, D5 are polarised; D4 is bidirectional.</t>
  </si>
</sst>
</file>

<file path=xl/styles.xml><?xml version="1.0" encoding="utf-8"?>
<styleSheet xmlns="http://schemas.openxmlformats.org/spreadsheetml/2006/main">
  <numFmts count="3">
    <numFmt numFmtId="164" formatCode="General"/>
    <numFmt numFmtId="165" formatCode="\$0.000"/>
    <numFmt numFmtId="166" formatCode="\$0.00"/>
  </numFmts>
  <fonts count="13">
    <font>
      <sz val="12"/>
      <name val="宋体"/>
      <family val="0"/>
      <charset val="134"/>
    </font>
    <font>
      <sz val="10"/>
      <name val="Arial"/>
      <family val="0"/>
    </font>
    <font>
      <sz val="10"/>
      <name val="Arial"/>
      <family val="0"/>
    </font>
    <font>
      <sz val="10"/>
      <name val="Arial"/>
      <family val="0"/>
    </font>
    <font>
      <sz val="12"/>
      <name val="Arial"/>
      <family val="2"/>
      <charset val="1"/>
    </font>
    <font>
      <b val="true"/>
      <sz val="11"/>
      <name val="Arial"/>
      <family val="2"/>
      <charset val="1"/>
    </font>
    <font>
      <b val="true"/>
      <sz val="10"/>
      <name val="Arial"/>
      <family val="2"/>
      <charset val="1"/>
    </font>
    <font>
      <sz val="10"/>
      <color rgb="FFFF0000"/>
      <name val="Arial"/>
      <family val="2"/>
      <charset val="1"/>
    </font>
    <font>
      <sz val="10"/>
      <name val="Arial"/>
      <family val="2"/>
      <charset val="1"/>
    </font>
    <font>
      <sz val="10"/>
      <name val="Noto Sans CJK SC"/>
      <family val="2"/>
    </font>
    <font>
      <sz val="10"/>
      <name val="Arial"/>
      <family val="0"/>
      <charset val="1"/>
    </font>
    <font>
      <b val="true"/>
      <sz val="10"/>
      <color rgb="FFFF0000"/>
      <name val="Arial"/>
      <family val="2"/>
      <charset val="1"/>
    </font>
    <font>
      <b val="true"/>
      <sz val="10"/>
      <name val="Arial"/>
      <family val="0"/>
      <charset val="1"/>
    </font>
  </fonts>
  <fills count="5">
    <fill>
      <patternFill patternType="none"/>
    </fill>
    <fill>
      <patternFill patternType="gray125"/>
    </fill>
    <fill>
      <patternFill patternType="solid">
        <fgColor rgb="FFFFFFFF"/>
        <bgColor rgb="FFFFFFCC"/>
      </patternFill>
    </fill>
    <fill>
      <patternFill patternType="solid">
        <fgColor rgb="FFC0C0C0"/>
        <bgColor rgb="FFCCCCFF"/>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84600</xdr:colOff>
      <xdr:row>0</xdr:row>
      <xdr:rowOff>67320</xdr:rowOff>
    </xdr:from>
    <xdr:to>
      <xdr:col>2</xdr:col>
      <xdr:colOff>193320</xdr:colOff>
      <xdr:row>0</xdr:row>
      <xdr:rowOff>446760</xdr:rowOff>
    </xdr:to>
    <xdr:pic>
      <xdr:nvPicPr>
        <xdr:cNvPr id="0" name="图片 1" descr="pcbway-400x400.jpg"/>
        <xdr:cNvPicPr/>
      </xdr:nvPicPr>
      <xdr:blipFill>
        <a:blip r:embed="rId1"/>
        <a:stretch/>
      </xdr:blipFill>
      <xdr:spPr>
        <a:xfrm>
          <a:off x="84600" y="67320"/>
          <a:ext cx="1710360" cy="379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9296875" defaultRowHeight="15" zeroHeight="false" outlineLevelRow="0" outlineLevelCol="0"/>
  <cols>
    <col collapsed="false" customWidth="true" hidden="false" outlineLevel="0" max="1" min="1" style="1" width="6.24"/>
    <col collapsed="false" customWidth="true" hidden="false" outlineLevel="0" max="2" min="2" style="1" width="10.24"/>
    <col collapsed="false" customWidth="true" hidden="false" outlineLevel="0" max="3" min="3" style="1" width="5.37"/>
    <col collapsed="false" customWidth="true" hidden="false" outlineLevel="0" max="4" min="4" style="1" width="12.12"/>
    <col collapsed="false" customWidth="true" hidden="false" outlineLevel="0" max="5" min="5" style="1" width="18.37"/>
    <col collapsed="false" customWidth="true" hidden="false" outlineLevel="0" max="6" min="6" style="1" width="49.99"/>
    <col collapsed="false" customWidth="true" hidden="false" outlineLevel="0" max="7" min="7" style="1" width="20.24"/>
    <col collapsed="false" customWidth="true" hidden="false" outlineLevel="0" max="8" min="8" style="1" width="15.99"/>
    <col collapsed="false" customWidth="true" hidden="false" outlineLevel="0" max="9" min="9" style="1" width="23.99"/>
    <col collapsed="false" customWidth="true" hidden="false" outlineLevel="0" max="10" min="10" style="1" width="17.99"/>
    <col collapsed="false" customWidth="true" hidden="false" outlineLevel="0" max="11" min="11" style="1" width="11.99"/>
    <col collapsed="false" customWidth="true" hidden="false" outlineLevel="0" max="12" min="12" style="1" width="15.99"/>
    <col collapsed="false" customWidth="true" hidden="false" outlineLevel="0" max="13" min="13" style="1" width="25.99"/>
    <col collapsed="false" customWidth="true" hidden="false" outlineLevel="0" max="16" min="14" style="1" width="13.99"/>
    <col collapsed="false" customWidth="true" hidden="false" outlineLevel="0" max="32" min="17" style="1" width="8.99"/>
    <col collapsed="false" customWidth="false" hidden="false" outlineLevel="0" max="257" min="33" style="1" width="8.79"/>
  </cols>
  <sheetData>
    <row r="1" s="1" customFormat="true" ht="39.75" hidden="false" customHeight="true" outlineLevel="0" collapsed="false">
      <c r="A1" s="2" t="s">
        <v>0</v>
      </c>
      <c r="B1" s="2"/>
      <c r="C1" s="2"/>
      <c r="D1" s="2"/>
      <c r="E1" s="2"/>
      <c r="F1" s="2"/>
      <c r="G1" s="2"/>
      <c r="H1" s="2"/>
      <c r="I1" s="2"/>
      <c r="J1" s="2"/>
      <c r="K1" s="2"/>
      <c r="L1" s="2"/>
      <c r="M1" s="2"/>
      <c r="N1" s="2"/>
      <c r="O1" s="2"/>
      <c r="P1" s="2"/>
    </row>
    <row r="2" customFormat="false" ht="25.5" hidden="false" customHeight="true" outlineLevel="0" collapsed="false">
      <c r="A2" s="3" t="s">
        <v>1</v>
      </c>
      <c r="B2" s="4" t="s">
        <v>2</v>
      </c>
      <c r="C2" s="4" t="s">
        <v>3</v>
      </c>
      <c r="D2" s="3" t="s">
        <v>4</v>
      </c>
      <c r="E2" s="4" t="s">
        <v>5</v>
      </c>
      <c r="F2" s="3" t="s">
        <v>6</v>
      </c>
      <c r="G2" s="4" t="s">
        <v>7</v>
      </c>
      <c r="H2" s="3" t="s">
        <v>8</v>
      </c>
      <c r="I2" s="3" t="s">
        <v>9</v>
      </c>
      <c r="J2" s="4" t="s">
        <v>10</v>
      </c>
      <c r="K2" s="4" t="s">
        <v>11</v>
      </c>
      <c r="L2" s="4" t="s">
        <v>12</v>
      </c>
      <c r="M2" s="4" t="s">
        <v>13</v>
      </c>
      <c r="N2" s="4" t="s">
        <v>14</v>
      </c>
      <c r="O2" s="5" t="s">
        <v>15</v>
      </c>
      <c r="P2" s="5" t="s">
        <v>16</v>
      </c>
    </row>
    <row r="3" customFormat="false" ht="34.5" hidden="false" customHeight="true" outlineLevel="0" collapsed="false">
      <c r="A3" s="6" t="n">
        <v>1</v>
      </c>
      <c r="B3" s="6" t="s">
        <v>17</v>
      </c>
      <c r="C3" s="6" t="n">
        <v>1</v>
      </c>
      <c r="D3" s="6" t="s">
        <v>18</v>
      </c>
      <c r="E3" s="6" t="s">
        <v>19</v>
      </c>
      <c r="F3" s="7" t="s">
        <v>20</v>
      </c>
      <c r="G3" s="6" t="s">
        <v>21</v>
      </c>
      <c r="H3" s="7" t="s">
        <v>22</v>
      </c>
      <c r="I3" s="7" t="s">
        <v>23</v>
      </c>
      <c r="J3" s="8" t="n">
        <v>1.811</v>
      </c>
      <c r="K3" s="8" t="n">
        <f aca="false">C3*J3*5</f>
        <v>9.055</v>
      </c>
      <c r="L3" s="6"/>
      <c r="M3" s="9"/>
      <c r="N3" s="7"/>
      <c r="O3" s="10" t="s">
        <v>24</v>
      </c>
      <c r="P3" s="6"/>
    </row>
    <row r="4" customFormat="false" ht="23.25" hidden="false" customHeight="true" outlineLevel="0" collapsed="false">
      <c r="A4" s="6" t="n">
        <v>2</v>
      </c>
      <c r="B4" s="6" t="s">
        <v>25</v>
      </c>
      <c r="C4" s="6" t="n">
        <v>1</v>
      </c>
      <c r="D4" s="6" t="s">
        <v>26</v>
      </c>
      <c r="E4" s="6" t="s">
        <v>27</v>
      </c>
      <c r="F4" s="7" t="s">
        <v>28</v>
      </c>
      <c r="G4" s="6" t="s">
        <v>29</v>
      </c>
      <c r="H4" s="7" t="s">
        <v>22</v>
      </c>
      <c r="I4" s="7" t="s">
        <v>30</v>
      </c>
      <c r="J4" s="8" t="n">
        <v>0.483</v>
      </c>
      <c r="K4" s="8" t="n">
        <f aca="false">C4*J4*5</f>
        <v>2.415</v>
      </c>
      <c r="L4" s="6"/>
      <c r="M4" s="9"/>
      <c r="N4" s="7"/>
      <c r="O4" s="10" t="s">
        <v>24</v>
      </c>
      <c r="P4" s="6"/>
    </row>
    <row r="5" customFormat="false" ht="23.25" hidden="false" customHeight="true" outlineLevel="0" collapsed="false">
      <c r="A5" s="6" t="n">
        <v>3</v>
      </c>
      <c r="B5" s="6" t="s">
        <v>31</v>
      </c>
      <c r="C5" s="6" t="n">
        <v>1</v>
      </c>
      <c r="D5" s="6" t="s">
        <v>32</v>
      </c>
      <c r="E5" s="6" t="s">
        <v>33</v>
      </c>
      <c r="F5" s="7" t="s">
        <v>34</v>
      </c>
      <c r="G5" s="6" t="s">
        <v>35</v>
      </c>
      <c r="H5" s="7" t="s">
        <v>22</v>
      </c>
      <c r="I5" s="7" t="s">
        <v>36</v>
      </c>
      <c r="J5" s="8" t="n">
        <v>0.242</v>
      </c>
      <c r="K5" s="8" t="n">
        <f aca="false">C5*J5*5</f>
        <v>1.21</v>
      </c>
      <c r="L5" s="6"/>
      <c r="M5" s="9"/>
      <c r="N5" s="7"/>
      <c r="O5" s="10" t="s">
        <v>24</v>
      </c>
      <c r="P5" s="6"/>
    </row>
    <row r="6" customFormat="false" ht="23.25" hidden="false" customHeight="true" outlineLevel="0" collapsed="false">
      <c r="A6" s="6" t="n">
        <v>4</v>
      </c>
      <c r="B6" s="6" t="s">
        <v>37</v>
      </c>
      <c r="C6" s="6" t="n">
        <v>1</v>
      </c>
      <c r="D6" s="6" t="s">
        <v>38</v>
      </c>
      <c r="E6" s="6" t="s">
        <v>39</v>
      </c>
      <c r="F6" s="7" t="s">
        <v>40</v>
      </c>
      <c r="G6" s="6" t="s">
        <v>35</v>
      </c>
      <c r="H6" s="7" t="s">
        <v>22</v>
      </c>
      <c r="I6" s="7" t="s">
        <v>41</v>
      </c>
      <c r="J6" s="8" t="n">
        <v>0.193</v>
      </c>
      <c r="K6" s="8" t="n">
        <f aca="false">C6*J6*5</f>
        <v>0.965</v>
      </c>
      <c r="L6" s="6"/>
      <c r="M6" s="9"/>
      <c r="N6" s="7"/>
      <c r="O6" s="10" t="s">
        <v>24</v>
      </c>
      <c r="P6" s="6"/>
    </row>
    <row r="7" customFormat="false" ht="23.25" hidden="false" customHeight="true" outlineLevel="0" collapsed="false">
      <c r="A7" s="6" t="n">
        <v>5</v>
      </c>
      <c r="B7" s="6" t="s">
        <v>42</v>
      </c>
      <c r="C7" s="6" t="n">
        <v>1</v>
      </c>
      <c r="D7" s="6" t="s">
        <v>38</v>
      </c>
      <c r="E7" s="6" t="s">
        <v>43</v>
      </c>
      <c r="F7" s="7" t="s">
        <v>44</v>
      </c>
      <c r="G7" s="6" t="s">
        <v>45</v>
      </c>
      <c r="H7" s="7" t="s">
        <v>22</v>
      </c>
      <c r="I7" s="7" t="s">
        <v>46</v>
      </c>
      <c r="J7" s="8" t="n">
        <v>0.242</v>
      </c>
      <c r="K7" s="8" t="n">
        <f aca="false">C7*J7*5</f>
        <v>1.21</v>
      </c>
      <c r="L7" s="6"/>
      <c r="M7" s="9"/>
      <c r="N7" s="7"/>
      <c r="O7" s="10" t="s">
        <v>24</v>
      </c>
      <c r="P7" s="6"/>
    </row>
    <row r="8" customFormat="false" ht="45.75" hidden="false" customHeight="true" outlineLevel="0" collapsed="false">
      <c r="A8" s="6" t="n">
        <v>6</v>
      </c>
      <c r="B8" s="6" t="s">
        <v>47</v>
      </c>
      <c r="C8" s="6" t="n">
        <v>1</v>
      </c>
      <c r="D8" s="6" t="s">
        <v>48</v>
      </c>
      <c r="E8" s="6" t="s">
        <v>49</v>
      </c>
      <c r="F8" s="7" t="s">
        <v>50</v>
      </c>
      <c r="G8" s="6" t="s">
        <v>51</v>
      </c>
      <c r="H8" s="7" t="s">
        <v>22</v>
      </c>
      <c r="I8" s="7" t="s">
        <v>52</v>
      </c>
      <c r="J8" s="8" t="n">
        <v>0.242</v>
      </c>
      <c r="K8" s="8" t="n">
        <f aca="false">C8*J8*5</f>
        <v>1.21</v>
      </c>
      <c r="L8" s="6"/>
      <c r="M8" s="9"/>
      <c r="N8" s="7"/>
      <c r="O8" s="10" t="s">
        <v>53</v>
      </c>
      <c r="P8" s="6"/>
    </row>
    <row r="9" customFormat="false" ht="135.75" hidden="false" customHeight="true" outlineLevel="0" collapsed="false">
      <c r="A9" s="6" t="n">
        <v>7</v>
      </c>
      <c r="B9" s="6" t="s">
        <v>54</v>
      </c>
      <c r="C9" s="6" t="n">
        <v>1</v>
      </c>
      <c r="D9" s="6" t="s">
        <v>48</v>
      </c>
      <c r="E9" s="6" t="s">
        <v>55</v>
      </c>
      <c r="F9" s="7" t="s">
        <v>56</v>
      </c>
      <c r="G9" s="6" t="s">
        <v>51</v>
      </c>
      <c r="H9" s="7" t="s">
        <v>22</v>
      </c>
      <c r="I9" s="7" t="s">
        <v>57</v>
      </c>
      <c r="J9" s="8" t="n">
        <v>0.403</v>
      </c>
      <c r="K9" s="8" t="n">
        <f aca="false">C9*J9*5</f>
        <v>2.015</v>
      </c>
      <c r="L9" s="6"/>
      <c r="M9" s="9" t="s">
        <v>58</v>
      </c>
      <c r="N9" s="11" t="s">
        <v>59</v>
      </c>
      <c r="O9" s="10" t="s">
        <v>60</v>
      </c>
      <c r="P9" s="6"/>
    </row>
    <row r="10" customFormat="false" ht="202.5" hidden="false" customHeight="true" outlineLevel="0" collapsed="false">
      <c r="A10" s="6" t="n">
        <v>8</v>
      </c>
      <c r="B10" s="6" t="s">
        <v>61</v>
      </c>
      <c r="C10" s="6" t="n">
        <v>1</v>
      </c>
      <c r="D10" s="6" t="s">
        <v>38</v>
      </c>
      <c r="E10" s="6" t="s">
        <v>62</v>
      </c>
      <c r="F10" s="7" t="s">
        <v>63</v>
      </c>
      <c r="G10" s="6" t="s">
        <v>64</v>
      </c>
      <c r="H10" s="7" t="s">
        <v>22</v>
      </c>
      <c r="I10" s="7" t="s">
        <v>65</v>
      </c>
      <c r="J10" s="8"/>
      <c r="K10" s="8"/>
      <c r="L10" s="6"/>
      <c r="M10" s="9"/>
      <c r="N10" s="11" t="s">
        <v>66</v>
      </c>
      <c r="O10" s="10" t="s">
        <v>67</v>
      </c>
      <c r="P10" s="6"/>
    </row>
    <row r="11" customFormat="false" ht="213.75" hidden="false" customHeight="true" outlineLevel="0" collapsed="false">
      <c r="A11" s="6" t="n">
        <v>9</v>
      </c>
      <c r="B11" s="6" t="s">
        <v>68</v>
      </c>
      <c r="C11" s="6" t="n">
        <v>1</v>
      </c>
      <c r="D11" s="6" t="s">
        <v>69</v>
      </c>
      <c r="E11" s="6" t="s">
        <v>70</v>
      </c>
      <c r="F11" s="7" t="s">
        <v>71</v>
      </c>
      <c r="G11" s="6" t="s">
        <v>64</v>
      </c>
      <c r="H11" s="7" t="s">
        <v>22</v>
      </c>
      <c r="I11" s="7" t="s">
        <v>72</v>
      </c>
      <c r="J11" s="8" t="n">
        <v>1.459</v>
      </c>
      <c r="K11" s="8" t="n">
        <f aca="false">C11*J11*5</f>
        <v>7.295</v>
      </c>
      <c r="L11" s="6"/>
      <c r="M11" s="9" t="s">
        <v>73</v>
      </c>
      <c r="N11" s="7"/>
      <c r="O11" s="10" t="s">
        <v>74</v>
      </c>
      <c r="P11" s="6"/>
    </row>
    <row r="12" customFormat="false" ht="135.75" hidden="false" customHeight="true" outlineLevel="0" collapsed="false">
      <c r="A12" s="6" t="n">
        <v>10</v>
      </c>
      <c r="B12" s="6" t="s">
        <v>75</v>
      </c>
      <c r="C12" s="6" t="n">
        <v>1</v>
      </c>
      <c r="D12" s="6" t="s">
        <v>76</v>
      </c>
      <c r="E12" s="6" t="s">
        <v>77</v>
      </c>
      <c r="F12" s="7" t="s">
        <v>78</v>
      </c>
      <c r="G12" s="6" t="s">
        <v>79</v>
      </c>
      <c r="H12" s="7" t="s">
        <v>22</v>
      </c>
      <c r="I12" s="7" t="s">
        <v>80</v>
      </c>
      <c r="J12" s="8" t="n">
        <v>2.473</v>
      </c>
      <c r="K12" s="8" t="n">
        <f aca="false">C12*J12*5</f>
        <v>12.365</v>
      </c>
      <c r="L12" s="6"/>
      <c r="M12" s="9"/>
      <c r="N12" s="7"/>
      <c r="O12" s="10" t="s">
        <v>81</v>
      </c>
      <c r="P12" s="6"/>
    </row>
    <row r="13" customFormat="false" ht="23.25" hidden="false" customHeight="true" outlineLevel="0" collapsed="false">
      <c r="A13" s="6" t="n">
        <v>11</v>
      </c>
      <c r="B13" s="6" t="s">
        <v>82</v>
      </c>
      <c r="C13" s="6" t="n">
        <v>1</v>
      </c>
      <c r="D13" s="6" t="s">
        <v>83</v>
      </c>
      <c r="E13" s="6" t="s">
        <v>84</v>
      </c>
      <c r="F13" s="7" t="s">
        <v>85</v>
      </c>
      <c r="G13" s="6" t="s">
        <v>51</v>
      </c>
      <c r="H13" s="7" t="s">
        <v>22</v>
      </c>
      <c r="I13" s="7" t="s">
        <v>86</v>
      </c>
      <c r="J13" s="8" t="n">
        <v>0.074</v>
      </c>
      <c r="K13" s="8" t="n">
        <f aca="false">C13*J13*5</f>
        <v>0.37</v>
      </c>
      <c r="L13" s="6"/>
      <c r="M13" s="9"/>
      <c r="N13" s="7"/>
      <c r="O13" s="10" t="s">
        <v>24</v>
      </c>
      <c r="P13" s="6"/>
    </row>
    <row r="14" customFormat="false" ht="23.25" hidden="false" customHeight="true" outlineLevel="0" collapsed="false">
      <c r="A14" s="6" t="n">
        <v>12</v>
      </c>
      <c r="B14" s="6" t="s">
        <v>87</v>
      </c>
      <c r="C14" s="6" t="n">
        <v>3</v>
      </c>
      <c r="D14" s="6" t="s">
        <v>83</v>
      </c>
      <c r="E14" s="6" t="s">
        <v>88</v>
      </c>
      <c r="F14" s="7" t="s">
        <v>89</v>
      </c>
      <c r="G14" s="6" t="s">
        <v>51</v>
      </c>
      <c r="H14" s="7" t="s">
        <v>22</v>
      </c>
      <c r="I14" s="7" t="s">
        <v>90</v>
      </c>
      <c r="J14" s="8" t="n">
        <v>0.034</v>
      </c>
      <c r="K14" s="8" t="n">
        <f aca="false">C14*J14*5</f>
        <v>0.51</v>
      </c>
      <c r="L14" s="6"/>
      <c r="M14" s="9"/>
      <c r="N14" s="7"/>
      <c r="O14" s="12" t="s">
        <v>91</v>
      </c>
      <c r="P14" s="6"/>
    </row>
    <row r="15" customFormat="false" ht="23.25" hidden="false" customHeight="true" outlineLevel="0" collapsed="false">
      <c r="A15" s="6" t="n">
        <v>13</v>
      </c>
      <c r="B15" s="6" t="s">
        <v>92</v>
      </c>
      <c r="C15" s="6" t="n">
        <v>1</v>
      </c>
      <c r="D15" s="6" t="s">
        <v>83</v>
      </c>
      <c r="E15" s="6" t="s">
        <v>93</v>
      </c>
      <c r="F15" s="7" t="s">
        <v>94</v>
      </c>
      <c r="G15" s="6" t="s">
        <v>51</v>
      </c>
      <c r="H15" s="7" t="s">
        <v>22</v>
      </c>
      <c r="I15" s="7" t="s">
        <v>95</v>
      </c>
      <c r="J15" s="8" t="n">
        <v>0.074</v>
      </c>
      <c r="K15" s="8" t="n">
        <f aca="false">C15*J15*5</f>
        <v>0.37</v>
      </c>
      <c r="L15" s="6"/>
      <c r="M15" s="9"/>
      <c r="N15" s="7"/>
      <c r="O15" s="10" t="s">
        <v>24</v>
      </c>
      <c r="P15" s="6"/>
    </row>
    <row r="16" customFormat="false" ht="23.25" hidden="false" customHeight="true" outlineLevel="0" collapsed="false">
      <c r="A16" s="6" t="n">
        <v>14</v>
      </c>
      <c r="B16" s="6" t="s">
        <v>96</v>
      </c>
      <c r="C16" s="6" t="n">
        <v>1</v>
      </c>
      <c r="D16" s="6" t="s">
        <v>83</v>
      </c>
      <c r="E16" s="6" t="s">
        <v>97</v>
      </c>
      <c r="F16" s="7" t="s">
        <v>98</v>
      </c>
      <c r="G16" s="6" t="s">
        <v>51</v>
      </c>
      <c r="H16" s="7" t="s">
        <v>22</v>
      </c>
      <c r="I16" s="7" t="s">
        <v>99</v>
      </c>
      <c r="J16" s="8" t="n">
        <v>0.074</v>
      </c>
      <c r="K16" s="8" t="n">
        <f aca="false">C16*J16*5</f>
        <v>0.37</v>
      </c>
      <c r="L16" s="6"/>
      <c r="M16" s="9"/>
      <c r="N16" s="7"/>
      <c r="O16" s="10" t="s">
        <v>24</v>
      </c>
      <c r="P16" s="6"/>
    </row>
    <row r="17" customFormat="false" ht="23.25" hidden="false" customHeight="true" outlineLevel="0" collapsed="false">
      <c r="A17" s="6" t="n">
        <v>15</v>
      </c>
      <c r="B17" s="6" t="s">
        <v>100</v>
      </c>
      <c r="C17" s="6" t="n">
        <v>1</v>
      </c>
      <c r="D17" s="6" t="s">
        <v>83</v>
      </c>
      <c r="E17" s="6" t="s">
        <v>101</v>
      </c>
      <c r="F17" s="7" t="s">
        <v>102</v>
      </c>
      <c r="G17" s="6" t="s">
        <v>51</v>
      </c>
      <c r="H17" s="7" t="s">
        <v>22</v>
      </c>
      <c r="I17" s="7" t="s">
        <v>103</v>
      </c>
      <c r="J17" s="8" t="n">
        <v>0.074</v>
      </c>
      <c r="K17" s="8" t="n">
        <f aca="false">C17*J17*5</f>
        <v>0.37</v>
      </c>
      <c r="L17" s="6"/>
      <c r="M17" s="9"/>
      <c r="N17" s="7"/>
      <c r="O17" s="10" t="s">
        <v>24</v>
      </c>
      <c r="P17" s="6"/>
    </row>
    <row r="18" customFormat="false" ht="102" hidden="false" customHeight="true" outlineLevel="0" collapsed="false">
      <c r="A18" s="6" t="n">
        <v>16</v>
      </c>
      <c r="B18" s="6" t="s">
        <v>104</v>
      </c>
      <c r="C18" s="6" t="n">
        <v>1</v>
      </c>
      <c r="D18" s="6" t="s">
        <v>105</v>
      </c>
      <c r="E18" s="6" t="s">
        <v>106</v>
      </c>
      <c r="F18" s="7" t="s">
        <v>107</v>
      </c>
      <c r="G18" s="6" t="s">
        <v>108</v>
      </c>
      <c r="H18" s="7" t="s">
        <v>109</v>
      </c>
      <c r="I18" s="7" t="s">
        <v>110</v>
      </c>
      <c r="J18" s="8" t="n">
        <v>2.908</v>
      </c>
      <c r="K18" s="8" t="n">
        <f aca="false">C18*J18*5</f>
        <v>14.54</v>
      </c>
      <c r="L18" s="6" t="s">
        <v>111</v>
      </c>
      <c r="M18" s="9"/>
      <c r="N18" s="7"/>
      <c r="O18" s="10" t="s">
        <v>112</v>
      </c>
      <c r="P18" s="6"/>
    </row>
    <row r="19" customFormat="false" ht="23.25" hidden="false" customHeight="true" outlineLevel="0" collapsed="false">
      <c r="A19" s="6" t="n">
        <v>17</v>
      </c>
      <c r="B19" s="6" t="s">
        <v>113</v>
      </c>
      <c r="C19" s="6" t="n">
        <v>1</v>
      </c>
      <c r="D19" s="6" t="s">
        <v>105</v>
      </c>
      <c r="E19" s="6" t="s">
        <v>114</v>
      </c>
      <c r="F19" s="7" t="s">
        <v>115</v>
      </c>
      <c r="G19" s="6" t="s">
        <v>109</v>
      </c>
      <c r="H19" s="7" t="s">
        <v>109</v>
      </c>
      <c r="I19" s="7" t="s">
        <v>116</v>
      </c>
      <c r="J19" s="8" t="n">
        <v>2.1</v>
      </c>
      <c r="K19" s="8" t="n">
        <f aca="false">C19*J19*5</f>
        <v>10.5</v>
      </c>
      <c r="L19" s="6" t="s">
        <v>111</v>
      </c>
      <c r="M19" s="9"/>
      <c r="N19" s="7"/>
      <c r="O19" s="10" t="s">
        <v>24</v>
      </c>
      <c r="P19" s="6"/>
    </row>
    <row r="20" customFormat="false" ht="90.75" hidden="false" customHeight="true" outlineLevel="0" collapsed="false">
      <c r="A20" s="6" t="n">
        <v>18</v>
      </c>
      <c r="B20" s="6" t="s">
        <v>117</v>
      </c>
      <c r="C20" s="6" t="n">
        <v>2</v>
      </c>
      <c r="D20" s="6" t="s">
        <v>118</v>
      </c>
      <c r="E20" s="6" t="s">
        <v>119</v>
      </c>
      <c r="F20" s="7" t="s">
        <v>120</v>
      </c>
      <c r="G20" s="6" t="s">
        <v>109</v>
      </c>
      <c r="H20" s="7" t="s">
        <v>109</v>
      </c>
      <c r="I20" s="7" t="s">
        <v>121</v>
      </c>
      <c r="J20" s="8" t="n">
        <v>0.886</v>
      </c>
      <c r="K20" s="8" t="n">
        <f aca="false">C20*J20*5</f>
        <v>8.86</v>
      </c>
      <c r="L20" s="6"/>
      <c r="M20" s="9"/>
      <c r="N20" s="7"/>
      <c r="O20" s="10" t="s">
        <v>122</v>
      </c>
      <c r="P20" s="6"/>
    </row>
    <row r="21" customFormat="false" ht="15" hidden="false" customHeight="true" outlineLevel="0" collapsed="false">
      <c r="J21" s="6" t="s">
        <v>123</v>
      </c>
      <c r="K21" s="13" t="n">
        <f aca="false">SUM(K3:K20)</f>
        <v>73.63</v>
      </c>
    </row>
    <row r="22" customFormat="false" ht="236.25" hidden="false" customHeight="true" outlineLevel="0" collapsed="false">
      <c r="J22" s="6" t="s">
        <v>124</v>
      </c>
      <c r="K22" s="13"/>
      <c r="O22" s="14" t="s">
        <v>125</v>
      </c>
    </row>
    <row r="23" customFormat="false" ht="147" hidden="false" customHeight="true" outlineLevel="0" collapsed="false">
      <c r="J23" s="6" t="s">
        <v>126</v>
      </c>
      <c r="K23" s="13" t="n">
        <v>5</v>
      </c>
      <c r="O23" s="14" t="s">
        <v>127</v>
      </c>
    </row>
    <row r="24" customFormat="false" ht="168.75" hidden="false" customHeight="true" outlineLevel="0" collapsed="false">
      <c r="J24" s="6" t="s">
        <v>128</v>
      </c>
      <c r="K24" s="13" t="n">
        <f aca="false">0*SUM(K22:K23)</f>
        <v>0</v>
      </c>
      <c r="O24" s="14" t="s">
        <v>129</v>
      </c>
    </row>
    <row r="25" customFormat="false" ht="180" hidden="false" customHeight="true" outlineLevel="0" collapsed="false">
      <c r="J25" s="6" t="s">
        <v>130</v>
      </c>
      <c r="K25" s="13" t="n">
        <f aca="false">SUM(K21:K24)</f>
        <v>78.63</v>
      </c>
      <c r="O25" s="14" t="s">
        <v>131</v>
      </c>
    </row>
    <row r="26" customFormat="false" ht="180.55" hidden="false" customHeight="false" outlineLevel="0" collapsed="false">
      <c r="O26" s="14" t="s">
        <v>132</v>
      </c>
    </row>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sheetData>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2020-08-21T01:41:33Z</dcterms:created>
  <dc:creator>Administrator</dc:creator>
  <dc:description/>
  <dc:language>en-US</dc:language>
  <cp:lastModifiedBy>YANG</cp:lastModifiedBy>
  <dcterms:modified xsi:type="dcterms:W3CDTF">2026-08-28T18:08:11Z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Generator">
    <vt:lpwstr>NPOI</vt:lpwstr>
  </property>
  <property fmtid="{D5CDD505-2E9C-101B-9397-08002B2CF9AE}" pid="4" name="Generator Version">
    <vt:lpwstr>2.3.0</vt:lpwstr>
  </property>
  <property fmtid="{D5CDD505-2E9C-101B-9397-08002B2CF9AE}" pid="5" name="ICV">
    <vt:lpwstr>414C026524E9425D8F7080A69C4EABDF_12</vt:lpwstr>
  </property>
  <property fmtid="{D5CDD505-2E9C-101B-9397-08002B2CF9AE}" pid="6" name="KSOProductBuildVer">
    <vt:lpwstr>2052-12.1.0.26895</vt:lpwstr>
  </property>
</Properties>
</file>